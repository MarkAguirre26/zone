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Files\Devs\SpringBootProjects\zone\"/>
    </mc:Choice>
  </mc:AlternateContent>
  <bookViews>
    <workbookView xWindow="0" yWindow="0" windowWidth="13635" windowHeight="7080"/>
  </bookViews>
  <sheets>
    <sheet name="BEC (2)" sheetId="12" r:id="rId1"/>
    <sheet name="CA" sheetId="5" state="hidden" r:id="rId2"/>
    <sheet name="Pair_Bet" sheetId="2" state="hidden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12" l="1"/>
  <c r="D32" i="5"/>
  <c r="E31" i="5" s="1"/>
  <c r="F31" i="5" l="1"/>
  <c r="E30" i="5"/>
  <c r="E29" i="5"/>
  <c r="E28" i="5"/>
  <c r="E32" i="5"/>
  <c r="F29" i="5" l="1"/>
  <c r="F30" i="5"/>
  <c r="F28" i="5"/>
  <c r="F32" i="5" s="1"/>
  <c r="G31" i="5" s="1"/>
  <c r="E22" i="5"/>
  <c r="F22" i="5" s="1"/>
  <c r="E21" i="5"/>
  <c r="E20" i="5"/>
  <c r="F20" i="5" s="1"/>
  <c r="E14" i="5"/>
  <c r="F14" i="5" s="1"/>
  <c r="E13" i="5"/>
  <c r="F13" i="5" s="1"/>
  <c r="E12" i="5"/>
  <c r="F12" i="5" s="1"/>
  <c r="E6" i="5"/>
  <c r="F6" i="5" s="1"/>
  <c r="E5" i="5"/>
  <c r="F5" i="5" s="1"/>
  <c r="E4" i="5"/>
  <c r="F4" i="5" s="1"/>
  <c r="G30" i="5" l="1"/>
  <c r="G28" i="5"/>
  <c r="G29" i="5"/>
  <c r="F15" i="5"/>
  <c r="G13" i="5" s="1"/>
  <c r="E23" i="5"/>
  <c r="E15" i="5"/>
  <c r="F7" i="5"/>
  <c r="E7" i="5"/>
  <c r="F21" i="5"/>
  <c r="F23" i="5" s="1"/>
  <c r="G22" i="5" s="1"/>
  <c r="G21" i="5" l="1"/>
  <c r="G6" i="5"/>
  <c r="G32" i="5"/>
  <c r="G33" i="5" s="1"/>
  <c r="G12" i="5"/>
  <c r="G14" i="5"/>
  <c r="G5" i="5"/>
  <c r="G4" i="5"/>
  <c r="G7" i="5" s="1"/>
  <c r="G8" i="5" s="1"/>
  <c r="G20" i="5"/>
  <c r="G23" i="5" s="1"/>
  <c r="G24" i="5" s="1"/>
  <c r="G15" i="5" l="1"/>
  <c r="G16" i="5"/>
  <c r="D4" i="2" l="1"/>
  <c r="D5" i="2" s="1"/>
  <c r="E4" i="2"/>
  <c r="E5" i="2" s="1"/>
  <c r="F4" i="2"/>
  <c r="F5" i="2" s="1"/>
  <c r="G4" i="2"/>
  <c r="G5" i="2" s="1"/>
  <c r="H4" i="2"/>
  <c r="H5" i="2" s="1"/>
  <c r="I4" i="2"/>
  <c r="I5" i="2" s="1"/>
  <c r="J4" i="2"/>
  <c r="J5" i="2" s="1"/>
  <c r="K4" i="2"/>
  <c r="K5" i="2" s="1"/>
  <c r="L4" i="2"/>
  <c r="L5" i="2" s="1"/>
  <c r="M4" i="2"/>
  <c r="M5" i="2" s="1"/>
  <c r="N4" i="2"/>
  <c r="N5" i="2" s="1"/>
  <c r="O4" i="2"/>
  <c r="O5" i="2" s="1"/>
  <c r="C4" i="2"/>
  <c r="C5" i="2" s="1"/>
  <c r="P5" i="2" l="1"/>
  <c r="C10" i="2" s="1"/>
  <c r="P4" i="2"/>
  <c r="C12" i="2" s="1"/>
  <c r="D10" i="2" l="1"/>
  <c r="F10" i="2" s="1"/>
  <c r="C11" i="2"/>
  <c r="D11" i="2" s="1"/>
  <c r="F11" i="2" s="1"/>
  <c r="F12" i="2" l="1"/>
  <c r="D12" i="2"/>
</calcChain>
</file>

<file path=xl/sharedStrings.xml><?xml version="1.0" encoding="utf-8"?>
<sst xmlns="http://schemas.openxmlformats.org/spreadsheetml/2006/main" count="76" uniqueCount="42">
  <si>
    <t>Number</t>
  </si>
  <si>
    <t>A</t>
  </si>
  <si>
    <t>T</t>
  </si>
  <si>
    <t>J</t>
  </si>
  <si>
    <t>Q</t>
  </si>
  <si>
    <t>K</t>
  </si>
  <si>
    <t>Pair Bet House Edge Analysis</t>
  </si>
  <si>
    <t>Pairs</t>
  </si>
  <si>
    <t>Total</t>
  </si>
  <si>
    <t>Pairs Combinatorial Analysis</t>
  </si>
  <si>
    <t>Event</t>
  </si>
  <si>
    <t>N</t>
  </si>
  <si>
    <t>p</t>
  </si>
  <si>
    <t>EV</t>
  </si>
  <si>
    <t>p*EV</t>
  </si>
  <si>
    <t>Pair</t>
  </si>
  <si>
    <t>Non-Pair</t>
  </si>
  <si>
    <t>Tie</t>
  </si>
  <si>
    <t>Pays</t>
  </si>
  <si>
    <t>Combinations</t>
  </si>
  <si>
    <t>Probability</t>
  </si>
  <si>
    <t>Return</t>
  </si>
  <si>
    <t>VAR</t>
  </si>
  <si>
    <t>Banker wins</t>
  </si>
  <si>
    <t>Player wins</t>
  </si>
  <si>
    <t>Baccarat Player Bet</t>
  </si>
  <si>
    <t>Baccarat Tie Bet</t>
  </si>
  <si>
    <t>Baccarat Banker Bet -- Winning 6 pays 1:2</t>
  </si>
  <si>
    <t>Baccarat Banker Bet -- 5% Commission</t>
  </si>
  <si>
    <t>Banker wins with 6</t>
  </si>
  <si>
    <t>Banker wins other</t>
  </si>
  <si>
    <t>BLUESKY</t>
  </si>
  <si>
    <t>REDSEA</t>
  </si>
  <si>
    <t>EVEN</t>
  </si>
  <si>
    <t>SSS777</t>
  </si>
  <si>
    <t>LUCKY888</t>
  </si>
  <si>
    <t>EVERYTHING UNDER THE SUN</t>
  </si>
  <si>
    <t>DRAFT#</t>
  </si>
  <si>
    <t>SHENRO777</t>
  </si>
  <si>
    <t>CLOUD999</t>
  </si>
  <si>
    <t>ZONES</t>
  </si>
  <si>
    <t>Capture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</si>
</sst>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00000000"/>
    <numFmt numFmtId="165" formatCode="_(* #,##0_);_(* \(#,##0\);_(* &quot;-&quot;??_);_(@_)"/>
    <numFmt numFmtId="166" formatCode="_(* #,##0.00000000_);_(* \(#,##0.00000000\);_(* &quot;-&quot;??_);_(@_)"/>
    <numFmt numFmtId="167" formatCode="0.000%"/>
    <numFmt numFmtId="168" formatCode="0.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Arial Narrow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rgb="FF008000"/>
      <name val="Calibri"/>
      <family val="2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lightUp">
        <bgColor theme="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27" applyNumberFormat="0" applyFill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3" fillId="0" borderId="0" applyNumberFormat="0" applyFill="0" applyBorder="0" applyAlignment="0" applyProtection="0"/>
    <xf numFmtId="0" fontId="14" fillId="8" borderId="0" applyNumberFormat="0" applyBorder="0" applyAlignment="0" applyProtection="0"/>
    <xf numFmtId="0" fontId="15" fillId="9" borderId="0" applyNumberFormat="0" applyBorder="0" applyAlignment="0" applyProtection="0"/>
    <xf numFmtId="0" fontId="16" fillId="11" borderId="30" applyNumberFormat="0" applyAlignment="0" applyProtection="0"/>
    <xf numFmtId="0" fontId="17" fillId="12" borderId="31" applyNumberFormat="0" applyAlignment="0" applyProtection="0"/>
    <xf numFmtId="0" fontId="18" fillId="12" borderId="30" applyNumberFormat="0" applyAlignment="0" applyProtection="0"/>
    <xf numFmtId="0" fontId="19" fillId="0" borderId="32" applyNumberFormat="0" applyFill="0" applyAlignment="0" applyProtection="0"/>
    <xf numFmtId="0" fontId="20" fillId="13" borderId="33" applyNumberFormat="0" applyAlignment="0" applyProtection="0"/>
    <xf numFmtId="0" fontId="21" fillId="0" borderId="0" applyNumberFormat="0" applyFill="0" applyBorder="0" applyAlignment="0" applyProtection="0"/>
    <xf numFmtId="0" fontId="1" fillId="14" borderId="34" applyNumberFormat="0" applyFont="0" applyAlignment="0" applyProtection="0"/>
    <xf numFmtId="0" fontId="22" fillId="0" borderId="0" applyNumberFormat="0" applyFill="0" applyBorder="0" applyAlignment="0" applyProtection="0"/>
    <xf numFmtId="0" fontId="5" fillId="0" borderId="35" applyNumberFormat="0" applyFill="0" applyAlignment="0" applyProtection="0"/>
    <xf numFmtId="0" fontId="2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3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3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3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10" borderId="0" applyNumberFormat="0" applyBorder="0" applyAlignment="0" applyProtection="0"/>
    <xf numFmtId="0" fontId="23" fillId="18" borderId="0" applyNumberFormat="0" applyBorder="0" applyAlignment="0" applyProtection="0"/>
    <xf numFmtId="0" fontId="23" fillId="22" borderId="0" applyNumberFormat="0" applyBorder="0" applyAlignment="0" applyProtection="0"/>
    <xf numFmtId="0" fontId="23" fillId="26" borderId="0" applyNumberFormat="0" applyBorder="0" applyAlignment="0" applyProtection="0"/>
    <xf numFmtId="0" fontId="23" fillId="30" borderId="0" applyNumberFormat="0" applyBorder="0" applyAlignment="0" applyProtection="0"/>
    <xf numFmtId="0" fontId="23" fillId="34" borderId="0" applyNumberFormat="0" applyBorder="0" applyAlignment="0" applyProtection="0"/>
    <xf numFmtId="0" fontId="23" fillId="38" borderId="0" applyNumberFormat="0" applyBorder="0" applyAlignment="0" applyProtection="0"/>
  </cellStyleXfs>
  <cellXfs count="7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0" xfId="0" applyFill="1"/>
    <xf numFmtId="0" fontId="0" fillId="2" borderId="7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12" xfId="0" applyFill="1" applyBorder="1"/>
    <xf numFmtId="0" fontId="2" fillId="2" borderId="0" xfId="0" applyFont="1" applyFill="1" applyAlignment="1">
      <alignment horizontal="center" vertical="center"/>
    </xf>
    <xf numFmtId="0" fontId="0" fillId="4" borderId="0" xfId="0" applyFill="1"/>
    <xf numFmtId="0" fontId="3" fillId="5" borderId="2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3" fontId="0" fillId="0" borderId="1" xfId="0" applyNumberFormat="1" applyBorder="1" applyAlignment="1">
      <alignment wrapText="1"/>
    </xf>
    <xf numFmtId="164" fontId="0" fillId="0" borderId="1" xfId="0" applyNumberFormat="1" applyBorder="1"/>
    <xf numFmtId="0" fontId="0" fillId="0" borderId="24" xfId="0" applyBorder="1" applyAlignment="1">
      <alignment wrapText="1"/>
    </xf>
    <xf numFmtId="0" fontId="0" fillId="0" borderId="2" xfId="0" applyBorder="1"/>
    <xf numFmtId="0" fontId="0" fillId="0" borderId="23" xfId="0" applyBorder="1" applyAlignment="1">
      <alignment wrapText="1"/>
    </xf>
    <xf numFmtId="0" fontId="0" fillId="0" borderId="26" xfId="0" applyBorder="1" applyAlignment="1">
      <alignment wrapText="1"/>
    </xf>
    <xf numFmtId="0" fontId="0" fillId="7" borderId="2" xfId="0" applyFill="1" applyBorder="1" applyAlignment="1">
      <alignment wrapText="1"/>
    </xf>
    <xf numFmtId="166" fontId="0" fillId="0" borderId="1" xfId="0" applyNumberFormat="1" applyBorder="1" applyAlignment="1">
      <alignment wrapText="1"/>
    </xf>
    <xf numFmtId="165" fontId="0" fillId="0" borderId="1" xfId="2" applyNumberFormat="1" applyFont="1" applyFill="1" applyBorder="1"/>
    <xf numFmtId="166" fontId="0" fillId="0" borderId="1" xfId="0" applyNumberFormat="1" applyBorder="1"/>
    <xf numFmtId="0" fontId="5" fillId="39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vertical="center" wrapText="1"/>
    </xf>
    <xf numFmtId="0" fontId="0" fillId="40" borderId="0" xfId="0" applyFill="1"/>
    <xf numFmtId="0" fontId="9" fillId="40" borderId="0" xfId="0" applyFont="1" applyFill="1"/>
    <xf numFmtId="10" fontId="9" fillId="40" borderId="0" xfId="1" applyNumberFormat="1" applyFont="1" applyFill="1" applyBorder="1"/>
    <xf numFmtId="0" fontId="7" fillId="40" borderId="0" xfId="0" applyFont="1" applyFill="1" applyAlignment="1">
      <alignment vertical="center" wrapText="1"/>
    </xf>
    <xf numFmtId="0" fontId="10" fillId="40" borderId="0" xfId="0" applyFont="1" applyFill="1" applyAlignment="1">
      <alignment horizontal="left" wrapText="1"/>
    </xf>
    <xf numFmtId="0" fontId="0" fillId="41" borderId="0" xfId="0" applyFill="1"/>
    <xf numFmtId="0" fontId="9" fillId="41" borderId="0" xfId="0" applyFont="1" applyFill="1"/>
    <xf numFmtId="10" fontId="9" fillId="41" borderId="0" xfId="1" applyNumberFormat="1" applyFont="1" applyFill="1" applyBorder="1"/>
    <xf numFmtId="0" fontId="7" fillId="41" borderId="0" xfId="0" applyFont="1" applyFill="1" applyAlignment="1">
      <alignment vertical="center" wrapText="1"/>
    </xf>
    <xf numFmtId="0" fontId="10" fillId="41" borderId="0" xfId="0" applyFont="1" applyFill="1" applyAlignment="1">
      <alignment horizontal="left" wrapText="1"/>
    </xf>
    <xf numFmtId="167" fontId="26" fillId="2" borderId="0" xfId="1" applyNumberFormat="1" applyFont="1" applyFill="1" applyBorder="1"/>
    <xf numFmtId="0" fontId="7" fillId="0" borderId="0" xfId="0" applyFont="1" applyAlignment="1">
      <alignment vertical="center" wrapText="1"/>
    </xf>
    <xf numFmtId="10" fontId="28" fillId="2" borderId="14" xfId="1" applyNumberFormat="1" applyFont="1" applyFill="1" applyBorder="1"/>
    <xf numFmtId="168" fontId="5" fillId="2" borderId="9" xfId="1" applyNumberFormat="1" applyFont="1" applyFill="1" applyBorder="1"/>
    <xf numFmtId="0" fontId="2" fillId="2" borderId="37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0" fillId="42" borderId="9" xfId="0" applyFont="1" applyFill="1" applyBorder="1" applyAlignment="1">
      <alignment horizontal="center" vertical="center"/>
    </xf>
    <xf numFmtId="0" fontId="31" fillId="2" borderId="14" xfId="0" applyFont="1" applyFill="1" applyBorder="1" applyAlignment="1">
      <alignment horizontal="center" vertical="center"/>
    </xf>
    <xf numFmtId="10" fontId="5" fillId="2" borderId="15" xfId="1" applyNumberFormat="1" applyFont="1" applyFill="1" applyBorder="1"/>
    <xf numFmtId="0" fontId="0" fillId="2" borderId="0" xfId="0" applyFill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45" borderId="36" xfId="0" applyFont="1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9" fillId="2" borderId="0" xfId="0" applyFont="1" applyFill="1" applyAlignment="1">
      <alignment horizontal="left"/>
    </xf>
    <xf numFmtId="0" fontId="6" fillId="45" borderId="3" xfId="0" applyFont="1" applyFill="1" applyBorder="1" applyAlignment="1">
      <alignment horizontal="center" vertical="center"/>
    </xf>
    <xf numFmtId="0" fontId="6" fillId="45" borderId="4" xfId="0" applyFont="1" applyFill="1" applyBorder="1" applyAlignment="1">
      <alignment horizontal="center" vertical="center"/>
    </xf>
    <xf numFmtId="0" fontId="6" fillId="45" borderId="5" xfId="0" applyFont="1" applyFill="1" applyBorder="1" applyAlignment="1">
      <alignment horizontal="center" vertical="center"/>
    </xf>
    <xf numFmtId="0" fontId="6" fillId="45" borderId="11" xfId="0" applyFont="1" applyFill="1" applyBorder="1" applyAlignment="1">
      <alignment horizontal="center" vertical="center"/>
    </xf>
    <xf numFmtId="0" fontId="6" fillId="45" borderId="12" xfId="0" applyFont="1" applyFill="1" applyBorder="1" applyAlignment="1">
      <alignment horizontal="center" vertical="center"/>
    </xf>
    <xf numFmtId="0" fontId="6" fillId="45" borderId="13" xfId="0" applyFont="1" applyFill="1" applyBorder="1" applyAlignment="1">
      <alignment horizontal="center" vertical="center"/>
    </xf>
    <xf numFmtId="0" fontId="29" fillId="44" borderId="6" xfId="0" applyFont="1" applyFill="1" applyBorder="1" applyAlignment="1">
      <alignment horizontal="left"/>
    </xf>
    <xf numFmtId="0" fontId="29" fillId="44" borderId="36" xfId="0" applyFont="1" applyFill="1" applyBorder="1" applyAlignment="1">
      <alignment horizontal="left"/>
    </xf>
    <xf numFmtId="0" fontId="29" fillId="43" borderId="6" xfId="0" applyFont="1" applyFill="1" applyBorder="1" applyAlignment="1">
      <alignment horizontal="left"/>
    </xf>
    <xf numFmtId="0" fontId="29" fillId="43" borderId="36" xfId="0" applyFont="1" applyFill="1" applyBorder="1" applyAlignment="1">
      <alignment horizontal="left"/>
    </xf>
    <xf numFmtId="0" fontId="29" fillId="6" borderId="8" xfId="0" applyFont="1" applyFill="1" applyBorder="1" applyAlignment="1">
      <alignment horizontal="left"/>
    </xf>
    <xf numFmtId="0" fontId="29" fillId="6" borderId="17" xfId="0" applyFont="1" applyFill="1" applyBorder="1" applyAlignment="1">
      <alignment horizontal="left"/>
    </xf>
    <xf numFmtId="0" fontId="29" fillId="2" borderId="6" xfId="0" applyFont="1" applyFill="1" applyBorder="1" applyAlignment="1">
      <alignment horizontal="left"/>
    </xf>
    <xf numFmtId="0" fontId="29" fillId="2" borderId="36" xfId="0" applyFont="1" applyFill="1" applyBorder="1" applyAlignment="1">
      <alignment horizontal="left"/>
    </xf>
    <xf numFmtId="0" fontId="29" fillId="2" borderId="25" xfId="0" applyFont="1" applyFill="1" applyBorder="1" applyAlignment="1">
      <alignment horizontal="left"/>
    </xf>
    <xf numFmtId="0" fontId="29" fillId="2" borderId="16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44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Comma" xfId="2" builtinId="3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 2" xfId="37"/>
    <cellStyle name="Normal" xfId="0" builtinId="0"/>
    <cellStyle name="Note" xfId="15" builtinId="10" customBuiltin="1"/>
    <cellStyle name="Output" xfId="10" builtinId="21" customBuiltin="1"/>
    <cellStyle name="Percent" xfId="1" builtinId="5"/>
    <cellStyle name="Title 2" xfId="36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11</xdr:row>
          <xdr:rowOff>19050</xdr:rowOff>
        </xdr:from>
        <xdr:to>
          <xdr:col>2</xdr:col>
          <xdr:colOff>504825</xdr:colOff>
          <xdr:row>11</xdr:row>
          <xdr:rowOff>466725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11</xdr:row>
          <xdr:rowOff>28575</xdr:rowOff>
        </xdr:from>
        <xdr:to>
          <xdr:col>4</xdr:col>
          <xdr:colOff>0</xdr:colOff>
          <xdr:row>11</xdr:row>
          <xdr:rowOff>476250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11</xdr:row>
          <xdr:rowOff>28575</xdr:rowOff>
        </xdr:from>
        <xdr:to>
          <xdr:col>4</xdr:col>
          <xdr:colOff>514350</xdr:colOff>
          <xdr:row>11</xdr:row>
          <xdr:rowOff>476250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11</xdr:row>
          <xdr:rowOff>28575</xdr:rowOff>
        </xdr:from>
        <xdr:to>
          <xdr:col>6</xdr:col>
          <xdr:colOff>0</xdr:colOff>
          <xdr:row>11</xdr:row>
          <xdr:rowOff>476250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514350</xdr:colOff>
          <xdr:row>11</xdr:row>
          <xdr:rowOff>476250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11</xdr:row>
          <xdr:rowOff>28575</xdr:rowOff>
        </xdr:from>
        <xdr:to>
          <xdr:col>7</xdr:col>
          <xdr:colOff>504825</xdr:colOff>
          <xdr:row>11</xdr:row>
          <xdr:rowOff>476250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11</xdr:row>
          <xdr:rowOff>28575</xdr:rowOff>
        </xdr:from>
        <xdr:to>
          <xdr:col>8</xdr:col>
          <xdr:colOff>514350</xdr:colOff>
          <xdr:row>11</xdr:row>
          <xdr:rowOff>476250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11</xdr:row>
          <xdr:rowOff>19050</xdr:rowOff>
        </xdr:from>
        <xdr:to>
          <xdr:col>9</xdr:col>
          <xdr:colOff>504825</xdr:colOff>
          <xdr:row>11</xdr:row>
          <xdr:rowOff>466725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11</xdr:row>
          <xdr:rowOff>19050</xdr:rowOff>
        </xdr:from>
        <xdr:to>
          <xdr:col>10</xdr:col>
          <xdr:colOff>514350</xdr:colOff>
          <xdr:row>11</xdr:row>
          <xdr:rowOff>466725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11</xdr:row>
          <xdr:rowOff>28575</xdr:rowOff>
        </xdr:from>
        <xdr:to>
          <xdr:col>11</xdr:col>
          <xdr:colOff>514350</xdr:colOff>
          <xdr:row>11</xdr:row>
          <xdr:rowOff>476250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11</xdr:row>
          <xdr:rowOff>19050</xdr:rowOff>
        </xdr:from>
        <xdr:to>
          <xdr:col>13</xdr:col>
          <xdr:colOff>0</xdr:colOff>
          <xdr:row>11</xdr:row>
          <xdr:rowOff>466725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11</xdr:row>
          <xdr:rowOff>28575</xdr:rowOff>
        </xdr:from>
        <xdr:to>
          <xdr:col>14</xdr:col>
          <xdr:colOff>0</xdr:colOff>
          <xdr:row>11</xdr:row>
          <xdr:rowOff>476250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11</xdr:row>
          <xdr:rowOff>28575</xdr:rowOff>
        </xdr:from>
        <xdr:to>
          <xdr:col>14</xdr:col>
          <xdr:colOff>514350</xdr:colOff>
          <xdr:row>11</xdr:row>
          <xdr:rowOff>476250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504825</xdr:colOff>
          <xdr:row>12</xdr:row>
          <xdr:rowOff>228600</xdr:rowOff>
        </xdr:from>
        <xdr:to>
          <xdr:col>6</xdr:col>
          <xdr:colOff>76200</xdr:colOff>
          <xdr:row>14</xdr:row>
          <xdr:rowOff>104775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YYY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12</xdr:row>
          <xdr:rowOff>228600</xdr:rowOff>
        </xdr:from>
        <xdr:to>
          <xdr:col>8</xdr:col>
          <xdr:colOff>514350</xdr:colOff>
          <xdr:row>14</xdr:row>
          <xdr:rowOff>104775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XXX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9</xdr:row>
          <xdr:rowOff>38100</xdr:rowOff>
        </xdr:from>
        <xdr:to>
          <xdr:col>2</xdr:col>
          <xdr:colOff>476250</xdr:colOff>
          <xdr:row>9</xdr:row>
          <xdr:rowOff>485775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9</xdr:row>
          <xdr:rowOff>38100</xdr:rowOff>
        </xdr:from>
        <xdr:to>
          <xdr:col>3</xdr:col>
          <xdr:colOff>495300</xdr:colOff>
          <xdr:row>9</xdr:row>
          <xdr:rowOff>485775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9</xdr:row>
          <xdr:rowOff>38100</xdr:rowOff>
        </xdr:from>
        <xdr:to>
          <xdr:col>4</xdr:col>
          <xdr:colOff>485775</xdr:colOff>
          <xdr:row>9</xdr:row>
          <xdr:rowOff>485775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9</xdr:row>
          <xdr:rowOff>38100</xdr:rowOff>
        </xdr:from>
        <xdr:to>
          <xdr:col>5</xdr:col>
          <xdr:colOff>485775</xdr:colOff>
          <xdr:row>9</xdr:row>
          <xdr:rowOff>485775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38100</xdr:rowOff>
        </xdr:from>
        <xdr:to>
          <xdr:col>6</xdr:col>
          <xdr:colOff>485775</xdr:colOff>
          <xdr:row>9</xdr:row>
          <xdr:rowOff>485775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38100</xdr:rowOff>
        </xdr:from>
        <xdr:to>
          <xdr:col>7</xdr:col>
          <xdr:colOff>476250</xdr:colOff>
          <xdr:row>9</xdr:row>
          <xdr:rowOff>485775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9</xdr:row>
          <xdr:rowOff>38100</xdr:rowOff>
        </xdr:from>
        <xdr:to>
          <xdr:col>8</xdr:col>
          <xdr:colOff>485775</xdr:colOff>
          <xdr:row>9</xdr:row>
          <xdr:rowOff>485775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9</xdr:row>
          <xdr:rowOff>28575</xdr:rowOff>
        </xdr:from>
        <xdr:to>
          <xdr:col>9</xdr:col>
          <xdr:colOff>476250</xdr:colOff>
          <xdr:row>9</xdr:row>
          <xdr:rowOff>476250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9</xdr:row>
          <xdr:rowOff>28575</xdr:rowOff>
        </xdr:from>
        <xdr:to>
          <xdr:col>10</xdr:col>
          <xdr:colOff>485775</xdr:colOff>
          <xdr:row>9</xdr:row>
          <xdr:rowOff>476250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9</xdr:row>
          <xdr:rowOff>38100</xdr:rowOff>
        </xdr:from>
        <xdr:to>
          <xdr:col>11</xdr:col>
          <xdr:colOff>485775</xdr:colOff>
          <xdr:row>9</xdr:row>
          <xdr:rowOff>485775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9</xdr:row>
          <xdr:rowOff>28575</xdr:rowOff>
        </xdr:from>
        <xdr:to>
          <xdr:col>12</xdr:col>
          <xdr:colOff>495300</xdr:colOff>
          <xdr:row>9</xdr:row>
          <xdr:rowOff>476250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9</xdr:row>
          <xdr:rowOff>38100</xdr:rowOff>
        </xdr:from>
        <xdr:to>
          <xdr:col>13</xdr:col>
          <xdr:colOff>495300</xdr:colOff>
          <xdr:row>9</xdr:row>
          <xdr:rowOff>485775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9</xdr:row>
          <xdr:rowOff>38100</xdr:rowOff>
        </xdr:from>
        <xdr:to>
          <xdr:col>14</xdr:col>
          <xdr:colOff>485775</xdr:colOff>
          <xdr:row>9</xdr:row>
          <xdr:rowOff>485775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14</xdr:row>
          <xdr:rowOff>104775</xdr:rowOff>
        </xdr:from>
        <xdr:to>
          <xdr:col>11</xdr:col>
          <xdr:colOff>504825</xdr:colOff>
          <xdr:row>16</xdr:row>
          <xdr:rowOff>104775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95250</xdr:rowOff>
        </xdr:from>
        <xdr:to>
          <xdr:col>13</xdr:col>
          <xdr:colOff>0</xdr:colOff>
          <xdr:row>16</xdr:row>
          <xdr:rowOff>104775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A1:Q35"/>
  <sheetViews>
    <sheetView tabSelected="1" zoomScale="90" zoomScaleNormal="90" workbookViewId="0">
      <selection activeCell="I7" sqref="I7"/>
    </sheetView>
  </sheetViews>
  <sheetFormatPr defaultColWidth="9.140625" defaultRowHeight="15" x14ac:dyDescent="0.25"/>
  <cols>
    <col min="1" max="1" width="1.7109375" style="30" customWidth="1"/>
    <col min="2" max="2" width="10.7109375" style="11" customWidth="1"/>
    <col min="3" max="16" width="7.7109375" style="11" customWidth="1"/>
    <col min="17" max="17" width="1.7109375" style="11" customWidth="1"/>
    <col min="18" max="16384" width="9.140625" style="11"/>
  </cols>
  <sheetData>
    <row r="1" spans="1:17" ht="6" customHeight="1" thickBot="1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17" ht="13.5" customHeight="1" x14ac:dyDescent="0.25">
      <c r="A2" s="35"/>
      <c r="B2" s="5"/>
      <c r="C2" s="6"/>
      <c r="D2" s="6"/>
      <c r="E2" s="6"/>
      <c r="F2" s="6"/>
      <c r="G2" s="6"/>
      <c r="H2" s="6"/>
      <c r="I2" s="6"/>
      <c r="J2" s="3"/>
      <c r="K2" s="3"/>
      <c r="L2" s="6"/>
      <c r="M2" s="6"/>
      <c r="N2" s="6"/>
      <c r="O2" s="6"/>
      <c r="P2" s="7"/>
      <c r="Q2" s="35"/>
    </row>
    <row r="3" spans="1:17" ht="20.25" customHeight="1" x14ac:dyDescent="0.25">
      <c r="A3" s="35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4"/>
      <c r="Q3" s="35"/>
    </row>
    <row r="4" spans="1:17" ht="15" customHeight="1" x14ac:dyDescent="0.25">
      <c r="A4" s="35"/>
      <c r="B4" s="8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4"/>
      <c r="Q4" s="35"/>
    </row>
    <row r="5" spans="1:17" ht="15" customHeight="1" x14ac:dyDescent="0.25">
      <c r="A5" s="35"/>
      <c r="B5" s="8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4"/>
      <c r="Q5" s="35"/>
    </row>
    <row r="6" spans="1:17" ht="15" customHeight="1" thickBot="1" x14ac:dyDescent="0.3">
      <c r="A6" s="35"/>
      <c r="B6" s="8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4"/>
      <c r="Q6" s="35"/>
    </row>
    <row r="7" spans="1:17" ht="20.25" customHeight="1" thickBot="1" x14ac:dyDescent="0.3">
      <c r="A7" s="35"/>
      <c r="B7" s="8"/>
      <c r="C7" s="3"/>
      <c r="D7" s="3"/>
      <c r="E7" s="52" t="s">
        <v>37</v>
      </c>
      <c r="F7" s="53"/>
      <c r="G7" s="53"/>
      <c r="H7" s="54"/>
      <c r="I7" s="12">
        <v>8</v>
      </c>
      <c r="J7" s="3"/>
      <c r="K7" s="3"/>
      <c r="L7" s="3"/>
      <c r="M7" s="3"/>
      <c r="N7" s="3"/>
      <c r="O7" s="3"/>
      <c r="P7" s="4"/>
      <c r="Q7" s="35"/>
    </row>
    <row r="8" spans="1:17" x14ac:dyDescent="0.25">
      <c r="A8" s="35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5"/>
    </row>
    <row r="9" spans="1:17" ht="20.25" customHeight="1" thickBot="1" x14ac:dyDescent="0.3">
      <c r="A9" s="35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5"/>
    </row>
    <row r="10" spans="1:17" ht="39.75" customHeight="1" x14ac:dyDescent="0.25">
      <c r="A10" s="35"/>
      <c r="B10" s="8"/>
      <c r="C10" s="44" t="s">
        <v>1</v>
      </c>
      <c r="D10" s="13">
        <v>2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48">
        <v>0</v>
      </c>
      <c r="Q10" s="35"/>
    </row>
    <row r="11" spans="1:17" ht="30" customHeight="1" thickBot="1" x14ac:dyDescent="0.3">
      <c r="A11" s="35"/>
      <c r="B11" s="8"/>
      <c r="C11" s="45">
        <v>34</v>
      </c>
      <c r="D11" s="15">
        <v>32</v>
      </c>
      <c r="E11" s="16">
        <v>32</v>
      </c>
      <c r="F11" s="16">
        <v>32</v>
      </c>
      <c r="G11" s="16">
        <v>32</v>
      </c>
      <c r="H11" s="16">
        <v>32</v>
      </c>
      <c r="I11" s="16">
        <v>32</v>
      </c>
      <c r="J11" s="16">
        <v>32</v>
      </c>
      <c r="K11" s="16">
        <v>32</v>
      </c>
      <c r="L11" s="16">
        <v>32</v>
      </c>
      <c r="M11" s="16">
        <v>32</v>
      </c>
      <c r="N11" s="16">
        <v>32</v>
      </c>
      <c r="O11" s="16">
        <v>32</v>
      </c>
      <c r="P11" s="47">
        <f>SUM(L11:O11)</f>
        <v>128</v>
      </c>
      <c r="Q11" s="35"/>
    </row>
    <row r="12" spans="1:17" ht="39.75" customHeight="1" thickBot="1" x14ac:dyDescent="0.3">
      <c r="A12" s="35"/>
      <c r="B12" s="8"/>
      <c r="C12" s="46" t="s">
        <v>1</v>
      </c>
      <c r="D12" s="13">
        <v>2</v>
      </c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48">
        <v>0</v>
      </c>
      <c r="Q12" s="35"/>
    </row>
    <row r="13" spans="1:17" ht="21" customHeight="1" x14ac:dyDescent="0.25">
      <c r="A13" s="35"/>
      <c r="B13" s="8"/>
      <c r="C13" s="10"/>
      <c r="D13" s="10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4"/>
      <c r="Q13" s="35"/>
    </row>
    <row r="14" spans="1:17" ht="15" customHeight="1" x14ac:dyDescent="0.25">
      <c r="A14" s="35"/>
      <c r="B14" s="8"/>
      <c r="C14" s="10"/>
      <c r="D14" s="10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4"/>
      <c r="Q14" s="35"/>
    </row>
    <row r="15" spans="1:17" ht="15" customHeight="1" thickBot="1" x14ac:dyDescent="0.3">
      <c r="A15" s="35"/>
      <c r="B15" s="3"/>
      <c r="C15" s="3"/>
      <c r="D15" s="10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5"/>
    </row>
    <row r="16" spans="1:17" ht="20.25" customHeight="1" x14ac:dyDescent="0.25">
      <c r="A16" s="35"/>
      <c r="B16" s="3"/>
      <c r="C16" s="3"/>
      <c r="D16" s="10"/>
      <c r="E16" s="58" t="s">
        <v>40</v>
      </c>
      <c r="F16" s="59"/>
      <c r="G16" s="59"/>
      <c r="H16" s="59"/>
      <c r="I16" s="60"/>
      <c r="J16" s="3"/>
      <c r="K16" s="3"/>
      <c r="L16" s="3"/>
      <c r="M16" s="3"/>
      <c r="N16" s="3"/>
      <c r="O16" s="3"/>
      <c r="P16" s="3"/>
      <c r="Q16" s="35"/>
    </row>
    <row r="17" spans="1:17" ht="15" customHeight="1" thickBot="1" x14ac:dyDescent="0.3">
      <c r="A17" s="35"/>
      <c r="B17" s="3"/>
      <c r="C17" s="3"/>
      <c r="D17" s="10"/>
      <c r="E17" s="61"/>
      <c r="F17" s="62"/>
      <c r="G17" s="62"/>
      <c r="H17" s="62"/>
      <c r="I17" s="63"/>
      <c r="J17" s="3"/>
      <c r="K17" s="3"/>
      <c r="L17" s="3"/>
      <c r="M17" s="3"/>
      <c r="N17" s="3"/>
      <c r="O17" s="3"/>
      <c r="P17" s="3"/>
      <c r="Q17" s="35"/>
    </row>
    <row r="18" spans="1:17" ht="15" customHeight="1" x14ac:dyDescent="0.3">
      <c r="A18" s="35"/>
      <c r="B18" s="3"/>
      <c r="C18" s="3"/>
      <c r="D18" s="10"/>
      <c r="E18" s="72" t="s">
        <v>38</v>
      </c>
      <c r="F18" s="73"/>
      <c r="G18" s="73"/>
      <c r="H18" s="73"/>
      <c r="I18" s="42">
        <v>-7.6113344724428461E-2</v>
      </c>
      <c r="J18" s="3"/>
      <c r="K18" s="3"/>
      <c r="L18" s="51">
        <v>15</v>
      </c>
      <c r="M18" s="51">
        <v>10</v>
      </c>
      <c r="N18" s="3"/>
      <c r="O18" s="3"/>
      <c r="P18" s="3"/>
      <c r="Q18" s="35"/>
    </row>
    <row r="19" spans="1:17" ht="15" customHeight="1" x14ac:dyDescent="0.25">
      <c r="A19" s="35"/>
      <c r="B19" s="3"/>
      <c r="C19" s="3"/>
      <c r="D19" s="10"/>
      <c r="E19" s="70" t="s">
        <v>35</v>
      </c>
      <c r="F19" s="71"/>
      <c r="G19" s="71"/>
      <c r="H19" s="71"/>
      <c r="I19" s="49">
        <v>-0.10187632169321352</v>
      </c>
      <c r="J19" s="3"/>
      <c r="K19" s="3"/>
      <c r="L19" s="50"/>
      <c r="M19" s="3"/>
      <c r="N19" s="3"/>
      <c r="O19" s="3"/>
      <c r="P19" s="3"/>
      <c r="Q19" s="35"/>
    </row>
    <row r="20" spans="1:17" ht="15" customHeight="1" x14ac:dyDescent="0.25">
      <c r="A20" s="35"/>
      <c r="B20" s="3"/>
      <c r="C20" s="3"/>
      <c r="D20" s="10"/>
      <c r="E20" s="70" t="s">
        <v>39</v>
      </c>
      <c r="F20" s="71"/>
      <c r="G20" s="71"/>
      <c r="H20" s="71"/>
      <c r="I20" s="49">
        <v>-9.310544374538271E-2</v>
      </c>
      <c r="J20" s="3"/>
      <c r="K20" s="3"/>
      <c r="L20" s="3"/>
      <c r="M20" s="3"/>
      <c r="N20" s="3"/>
      <c r="O20" s="3"/>
      <c r="P20" s="3"/>
      <c r="Q20" s="35"/>
    </row>
    <row r="21" spans="1:17" ht="15" customHeight="1" x14ac:dyDescent="0.3">
      <c r="A21" s="35"/>
      <c r="B21" s="3"/>
      <c r="C21" s="3"/>
      <c r="D21" s="10"/>
      <c r="E21" s="70" t="s">
        <v>34</v>
      </c>
      <c r="F21" s="71"/>
      <c r="G21" s="71"/>
      <c r="H21" s="71"/>
      <c r="I21" s="49">
        <v>-7.7797009846154383E-2</v>
      </c>
      <c r="J21" s="3"/>
      <c r="K21" s="3"/>
      <c r="L21" s="55" t="s">
        <v>41</v>
      </c>
      <c r="M21" s="55"/>
      <c r="N21" s="3"/>
      <c r="O21" s="3"/>
      <c r="P21" s="3"/>
      <c r="Q21" s="35"/>
    </row>
    <row r="22" spans="1:17" ht="15" customHeight="1" x14ac:dyDescent="0.25">
      <c r="A22" s="35"/>
      <c r="B22" s="3"/>
      <c r="C22" s="3"/>
      <c r="D22" s="10"/>
      <c r="E22" s="70" t="s">
        <v>36</v>
      </c>
      <c r="F22" s="71"/>
      <c r="G22" s="71"/>
      <c r="H22" s="71"/>
      <c r="I22" s="49">
        <v>-2.9664297604970701E-2</v>
      </c>
      <c r="J22" s="3"/>
      <c r="K22" s="3"/>
      <c r="L22" s="56">
        <v>10</v>
      </c>
      <c r="M22" s="56"/>
      <c r="N22" s="3"/>
      <c r="O22" s="3"/>
      <c r="P22" s="3"/>
      <c r="Q22" s="35"/>
    </row>
    <row r="23" spans="1:17" ht="15" customHeight="1" x14ac:dyDescent="0.25">
      <c r="A23" s="35"/>
      <c r="B23" s="3"/>
      <c r="C23" s="3"/>
      <c r="D23" s="10"/>
      <c r="E23" s="64" t="s">
        <v>31</v>
      </c>
      <c r="F23" s="65"/>
      <c r="G23" s="65"/>
      <c r="H23" s="65"/>
      <c r="I23" s="49">
        <v>-1.2350813289166138E-2</v>
      </c>
      <c r="J23" s="3"/>
      <c r="K23" s="3"/>
      <c r="L23" s="3"/>
      <c r="M23" s="3"/>
      <c r="N23" s="3"/>
      <c r="O23" s="3"/>
      <c r="P23" s="3"/>
      <c r="Q23" s="35"/>
    </row>
    <row r="24" spans="1:17" ht="15" customHeight="1" x14ac:dyDescent="0.25">
      <c r="A24" s="35"/>
      <c r="B24" s="3"/>
      <c r="C24" s="3"/>
      <c r="D24" s="3"/>
      <c r="E24" s="66" t="s">
        <v>32</v>
      </c>
      <c r="F24" s="67"/>
      <c r="G24" s="67"/>
      <c r="H24" s="67"/>
      <c r="I24" s="49">
        <v>-1.0183007571213657E-2</v>
      </c>
      <c r="J24" s="3"/>
      <c r="K24" s="3"/>
      <c r="L24" s="3"/>
      <c r="M24" s="3"/>
      <c r="N24" s="3"/>
      <c r="O24" s="3"/>
      <c r="P24" s="3"/>
      <c r="Q24" s="35"/>
    </row>
    <row r="25" spans="1:17" ht="15" customHeight="1" thickBot="1" x14ac:dyDescent="0.3">
      <c r="A25" s="35"/>
      <c r="B25" s="3"/>
      <c r="C25" s="3"/>
      <c r="D25" s="3"/>
      <c r="E25" s="68" t="s">
        <v>33</v>
      </c>
      <c r="F25" s="69"/>
      <c r="G25" s="69"/>
      <c r="H25" s="69"/>
      <c r="I25" s="43">
        <v>-0.14359628778723826</v>
      </c>
      <c r="J25" s="3"/>
      <c r="K25" s="3"/>
      <c r="L25" s="3"/>
      <c r="M25" s="3"/>
      <c r="N25" s="3"/>
      <c r="O25" s="3"/>
      <c r="P25" s="3"/>
      <c r="Q25" s="35"/>
    </row>
    <row r="26" spans="1:17" ht="15" customHeight="1" x14ac:dyDescent="0.25">
      <c r="A26" s="35"/>
      <c r="B26" s="3"/>
      <c r="C26" s="3"/>
      <c r="D26" s="3"/>
      <c r="E26" s="57"/>
      <c r="F26" s="57"/>
      <c r="G26" s="57"/>
      <c r="H26" s="57"/>
      <c r="I26" s="40"/>
      <c r="J26" s="3"/>
      <c r="K26" s="3"/>
      <c r="L26" s="3"/>
      <c r="M26" s="3"/>
      <c r="N26" s="3"/>
      <c r="O26" s="3"/>
      <c r="P26" s="41"/>
      <c r="Q26" s="35"/>
    </row>
    <row r="27" spans="1:17" ht="15" customHeight="1" thickBot="1" x14ac:dyDescent="0.3">
      <c r="A27" s="35"/>
      <c r="B27" s="3"/>
      <c r="C27" s="3"/>
      <c r="D27" s="9"/>
      <c r="E27" s="9"/>
      <c r="F27" s="9"/>
      <c r="G27" s="9"/>
      <c r="H27" s="9"/>
      <c r="I27" s="9"/>
      <c r="J27" s="9"/>
      <c r="K27" s="3"/>
      <c r="L27" s="3"/>
      <c r="M27" s="3"/>
      <c r="N27" s="3"/>
      <c r="O27" s="3"/>
      <c r="P27" s="29"/>
      <c r="Q27" s="35"/>
    </row>
    <row r="28" spans="1:17" ht="6.75" customHeight="1" x14ac:dyDescent="0.25">
      <c r="A28" s="35"/>
      <c r="B28" s="36"/>
      <c r="C28" s="37"/>
      <c r="D28" s="35"/>
      <c r="E28" s="38"/>
      <c r="F28" s="38"/>
      <c r="G28" s="38"/>
      <c r="H28" s="38"/>
      <c r="I28" s="38"/>
      <c r="J28" s="38"/>
      <c r="K28" s="35"/>
      <c r="L28" s="39"/>
      <c r="M28" s="39"/>
      <c r="N28" s="39"/>
      <c r="O28" s="39"/>
      <c r="P28" s="39"/>
      <c r="Q28" s="35"/>
    </row>
    <row r="29" spans="1:17" s="30" customFormat="1" ht="15" customHeight="1" x14ac:dyDescent="0.25">
      <c r="F29" s="33"/>
      <c r="G29" s="33"/>
      <c r="H29" s="33"/>
      <c r="I29" s="33"/>
      <c r="J29" s="33"/>
      <c r="L29" s="34"/>
      <c r="M29" s="34"/>
      <c r="N29" s="34"/>
      <c r="O29" s="34"/>
      <c r="P29" s="34"/>
    </row>
    <row r="30" spans="1:17" s="30" customFormat="1" ht="15" customHeight="1" x14ac:dyDescent="0.25">
      <c r="F30" s="33"/>
      <c r="G30" s="33"/>
      <c r="H30" s="33"/>
      <c r="I30" s="33"/>
      <c r="J30" s="33"/>
      <c r="L30" s="34"/>
      <c r="M30" s="34"/>
      <c r="N30" s="34"/>
      <c r="O30" s="34"/>
      <c r="P30" s="34"/>
    </row>
    <row r="31" spans="1:17" s="30" customFormat="1" ht="15" customHeight="1" x14ac:dyDescent="0.25">
      <c r="B31" s="31"/>
      <c r="C31" s="32"/>
      <c r="E31" s="33"/>
      <c r="F31" s="33"/>
      <c r="G31" s="33"/>
      <c r="H31" s="33"/>
      <c r="I31" s="33"/>
      <c r="J31" s="33"/>
      <c r="L31" s="34"/>
      <c r="M31" s="34"/>
      <c r="N31" s="34"/>
      <c r="O31" s="34"/>
      <c r="P31" s="34"/>
    </row>
    <row r="32" spans="1:17" s="30" customFormat="1" ht="15" customHeight="1" x14ac:dyDescent="0.25">
      <c r="B32" s="31"/>
      <c r="C32" s="32"/>
      <c r="E32" s="33"/>
      <c r="F32" s="33"/>
      <c r="G32" s="33"/>
      <c r="H32" s="33"/>
      <c r="I32" s="33"/>
      <c r="P32" s="34"/>
    </row>
    <row r="33" s="30" customFormat="1" x14ac:dyDescent="0.25"/>
    <row r="34" s="30" customFormat="1" x14ac:dyDescent="0.25"/>
    <row r="35" s="30" customFormat="1" x14ac:dyDescent="0.25"/>
  </sheetData>
  <mergeCells count="13">
    <mergeCell ref="E7:H7"/>
    <mergeCell ref="L21:M21"/>
    <mergeCell ref="L22:M22"/>
    <mergeCell ref="E26:H26"/>
    <mergeCell ref="E16:I17"/>
    <mergeCell ref="E23:H23"/>
    <mergeCell ref="E24:H24"/>
    <mergeCell ref="E25:H25"/>
    <mergeCell ref="E20:H20"/>
    <mergeCell ref="E21:H21"/>
    <mergeCell ref="E22:H22"/>
    <mergeCell ref="E18:H18"/>
    <mergeCell ref="E19:H19"/>
  </mergeCells>
  <pageMargins left="0.7" right="0.7" top="0.75" bottom="0.75" header="0.3" footer="0.3"/>
  <pageSetup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ButtonAP_Click">
                <anchor moveWithCells="1" sizeWithCells="1">
                  <from>
                    <xdr:col>2</xdr:col>
                    <xdr:colOff>57150</xdr:colOff>
                    <xdr:row>11</xdr:row>
                    <xdr:rowOff>19050</xdr:rowOff>
                  </from>
                  <to>
                    <xdr:col>2</xdr:col>
                    <xdr:colOff>504825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P_Click">
                <anchor moveWithCells="1" sizeWithCells="1">
                  <from>
                    <xdr:col>3</xdr:col>
                    <xdr:colOff>76200</xdr:colOff>
                    <xdr:row>11</xdr:row>
                    <xdr:rowOff>28575</xdr:rowOff>
                  </from>
                  <to>
                    <xdr:col>4</xdr:col>
                    <xdr:colOff>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Button3P_Click">
                <anchor moveWithCells="1" sizeWithCells="1">
                  <from>
                    <xdr:col>4</xdr:col>
                    <xdr:colOff>66675</xdr:colOff>
                    <xdr:row>11</xdr:row>
                    <xdr:rowOff>28575</xdr:rowOff>
                  </from>
                  <to>
                    <xdr:col>4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utton4P_Click">
                <anchor moveWithCells="1">
                  <from>
                    <xdr:col>5</xdr:col>
                    <xdr:colOff>66675</xdr:colOff>
                    <xdr:row>11</xdr:row>
                    <xdr:rowOff>28575</xdr:rowOff>
                  </from>
                  <to>
                    <xdr:col>6</xdr:col>
                    <xdr:colOff>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Button5P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Button6P_Click">
                <anchor moveWithCells="1" sizeWithCells="1">
                  <from>
                    <xdr:col>7</xdr:col>
                    <xdr:colOff>57150</xdr:colOff>
                    <xdr:row>11</xdr:row>
                    <xdr:rowOff>28575</xdr:rowOff>
                  </from>
                  <to>
                    <xdr:col>7</xdr:col>
                    <xdr:colOff>504825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Button7P_Click">
                <anchor moveWithCells="1" sizeWithCells="1">
                  <from>
                    <xdr:col>8</xdr:col>
                    <xdr:colOff>66675</xdr:colOff>
                    <xdr:row>11</xdr:row>
                    <xdr:rowOff>28575</xdr:rowOff>
                  </from>
                  <to>
                    <xdr:col>8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Button8P_Click">
                <anchor moveWithCells="1" sizeWithCells="1">
                  <from>
                    <xdr:col>9</xdr:col>
                    <xdr:colOff>57150</xdr:colOff>
                    <xdr:row>11</xdr:row>
                    <xdr:rowOff>19050</xdr:rowOff>
                  </from>
                  <to>
                    <xdr:col>9</xdr:col>
                    <xdr:colOff>504825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Button9P_Click">
                <anchor moveWithCells="1" sizeWithCells="1">
                  <from>
                    <xdr:col>10</xdr:col>
                    <xdr:colOff>66675</xdr:colOff>
                    <xdr:row>11</xdr:row>
                    <xdr:rowOff>19050</xdr:rowOff>
                  </from>
                  <to>
                    <xdr:col>10</xdr:col>
                    <xdr:colOff>514350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ButtonTP_Click">
                <anchor moveWithCells="1" sizeWithCells="1">
                  <from>
                    <xdr:col>11</xdr:col>
                    <xdr:colOff>66675</xdr:colOff>
                    <xdr:row>11</xdr:row>
                    <xdr:rowOff>28575</xdr:rowOff>
                  </from>
                  <to>
                    <xdr:col>11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ButtonJP_Click">
                <anchor moveWithCells="1" sizeWithCells="1">
                  <from>
                    <xdr:col>12</xdr:col>
                    <xdr:colOff>76200</xdr:colOff>
                    <xdr:row>11</xdr:row>
                    <xdr:rowOff>19050</xdr:rowOff>
                  </from>
                  <to>
                    <xdr:col>13</xdr:col>
                    <xdr:colOff>0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ButtonQP_Click">
                <anchor moveWithCells="1" sizeWithCells="1">
                  <from>
                    <xdr:col>13</xdr:col>
                    <xdr:colOff>76200</xdr:colOff>
                    <xdr:row>11</xdr:row>
                    <xdr:rowOff>28575</xdr:rowOff>
                  </from>
                  <to>
                    <xdr:col>14</xdr:col>
                    <xdr:colOff>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ButtonKP_Click">
                <anchor moveWithCells="1" sizeWithCells="1">
                  <from>
                    <xdr:col>14</xdr:col>
                    <xdr:colOff>66675</xdr:colOff>
                    <xdr:row>11</xdr:row>
                    <xdr:rowOff>28575</xdr:rowOff>
                  </from>
                  <to>
                    <xdr:col>14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et_Shoe">
                <anchor>
                  <from>
                    <xdr:col>3</xdr:col>
                    <xdr:colOff>504825</xdr:colOff>
                    <xdr:row>12</xdr:row>
                    <xdr:rowOff>228600</xdr:rowOff>
                  </from>
                  <to>
                    <xdr:col>6</xdr:col>
                    <xdr:colOff>76200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PBT_Edge_Click">
                <anchor moveWithCells="1" sizeWithCells="1">
                  <from>
                    <xdr:col>6</xdr:col>
                    <xdr:colOff>342900</xdr:colOff>
                    <xdr:row>12</xdr:row>
                    <xdr:rowOff>228600</xdr:rowOff>
                  </from>
                  <to>
                    <xdr:col>8</xdr:col>
                    <xdr:colOff>514350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ButtonA_Click">
                <anchor moveWithCells="1" sizeWithCells="1">
                  <from>
                    <xdr:col>2</xdr:col>
                    <xdr:colOff>28575</xdr:colOff>
                    <xdr:row>9</xdr:row>
                    <xdr:rowOff>38100</xdr:rowOff>
                  </from>
                  <to>
                    <xdr:col>2</xdr:col>
                    <xdr:colOff>476250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Button2_Click">
                <anchor moveWithCells="1" sizeWithCells="1">
                  <from>
                    <xdr:col>3</xdr:col>
                    <xdr:colOff>47625</xdr:colOff>
                    <xdr:row>9</xdr:row>
                    <xdr:rowOff>38100</xdr:rowOff>
                  </from>
                  <to>
                    <xdr:col>3</xdr:col>
                    <xdr:colOff>495300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Button3_Click">
                <anchor moveWithCells="1" sizeWithCells="1">
                  <from>
                    <xdr:col>4</xdr:col>
                    <xdr:colOff>38100</xdr:colOff>
                    <xdr:row>9</xdr:row>
                    <xdr:rowOff>38100</xdr:rowOff>
                  </from>
                  <to>
                    <xdr:col>4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Button4_Click">
                <anchor moveWithCells="1">
                  <from>
                    <xdr:col>5</xdr:col>
                    <xdr:colOff>38100</xdr:colOff>
                    <xdr:row>9</xdr:row>
                    <xdr:rowOff>38100</xdr:rowOff>
                  </from>
                  <to>
                    <xdr:col>5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Button5_Click">
                <anchor moveWithCells="1" sizeWithCells="1">
                  <from>
                    <xdr:col>6</xdr:col>
                    <xdr:colOff>38100</xdr:colOff>
                    <xdr:row>9</xdr:row>
                    <xdr:rowOff>38100</xdr:rowOff>
                  </from>
                  <to>
                    <xdr:col>6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Button6_Click">
                <anchor moveWithCells="1" sizeWithCells="1">
                  <from>
                    <xdr:col>7</xdr:col>
                    <xdr:colOff>28575</xdr:colOff>
                    <xdr:row>9</xdr:row>
                    <xdr:rowOff>38100</xdr:rowOff>
                  </from>
                  <to>
                    <xdr:col>7</xdr:col>
                    <xdr:colOff>476250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9</xdr:row>
                    <xdr:rowOff>38100</xdr:rowOff>
                  </from>
                  <to>
                    <xdr:col>8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Button8_Click">
                <anchor moveWithCells="1" sizeWithCells="1">
                  <from>
                    <xdr:col>9</xdr:col>
                    <xdr:colOff>28575</xdr:colOff>
                    <xdr:row>9</xdr:row>
                    <xdr:rowOff>28575</xdr:rowOff>
                  </from>
                  <to>
                    <xdr:col>9</xdr:col>
                    <xdr:colOff>476250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Button9_Click">
                <anchor moveWithCells="1" sizeWithCells="1">
                  <from>
                    <xdr:col>10</xdr:col>
                    <xdr:colOff>38100</xdr:colOff>
                    <xdr:row>9</xdr:row>
                    <xdr:rowOff>28575</xdr:rowOff>
                  </from>
                  <to>
                    <xdr:col>10</xdr:col>
                    <xdr:colOff>485775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ButtonT_Click">
                <anchor moveWithCells="1" sizeWithCells="1">
                  <from>
                    <xdr:col>11</xdr:col>
                    <xdr:colOff>38100</xdr:colOff>
                    <xdr:row>9</xdr:row>
                    <xdr:rowOff>38100</xdr:rowOff>
                  </from>
                  <to>
                    <xdr:col>11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ButtonJ_Click">
                <anchor moveWithCells="1" sizeWithCells="1">
                  <from>
                    <xdr:col>12</xdr:col>
                    <xdr:colOff>47625</xdr:colOff>
                    <xdr:row>9</xdr:row>
                    <xdr:rowOff>28575</xdr:rowOff>
                  </from>
                  <to>
                    <xdr:col>12</xdr:col>
                    <xdr:colOff>495300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ButtonQ_Click">
                <anchor moveWithCells="1" sizeWithCells="1">
                  <from>
                    <xdr:col>13</xdr:col>
                    <xdr:colOff>47625</xdr:colOff>
                    <xdr:row>9</xdr:row>
                    <xdr:rowOff>38100</xdr:rowOff>
                  </from>
                  <to>
                    <xdr:col>13</xdr:col>
                    <xdr:colOff>495300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ButtonK_Click">
                <anchor moveWithCells="1" sizeWithCells="1">
                  <from>
                    <xdr:col>14</xdr:col>
                    <xdr:colOff>38100</xdr:colOff>
                    <xdr:row>9</xdr:row>
                    <xdr:rowOff>38100</xdr:rowOff>
                  </from>
                  <to>
                    <xdr:col>14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ButtonW_Click">
                <anchor moveWithCells="1" sizeWithCells="1">
                  <from>
                    <xdr:col>11</xdr:col>
                    <xdr:colOff>57150</xdr:colOff>
                    <xdr:row>14</xdr:row>
                    <xdr:rowOff>104775</xdr:rowOff>
                  </from>
                  <to>
                    <xdr:col>11</xdr:col>
                    <xdr:colOff>504825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ButtonL_Click">
                <anchor moveWithCells="1" sizeWithCells="1">
                  <from>
                    <xdr:col>12</xdr:col>
                    <xdr:colOff>66675</xdr:colOff>
                    <xdr:row>14</xdr:row>
                    <xdr:rowOff>95250</xdr:rowOff>
                  </from>
                  <to>
                    <xdr:col>13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B2:G33"/>
  <sheetViews>
    <sheetView workbookViewId="0"/>
  </sheetViews>
  <sheetFormatPr defaultRowHeight="15" x14ac:dyDescent="0.25"/>
  <cols>
    <col min="2" max="2" width="24.7109375" customWidth="1"/>
    <col min="4" max="4" width="22.42578125" customWidth="1"/>
    <col min="5" max="7" width="12.7109375" customWidth="1"/>
  </cols>
  <sheetData>
    <row r="2" spans="2:7" ht="18.75" x14ac:dyDescent="0.3">
      <c r="B2" s="74" t="s">
        <v>28</v>
      </c>
      <c r="C2" s="74"/>
      <c r="D2" s="74"/>
      <c r="E2" s="74"/>
      <c r="F2" s="74"/>
      <c r="G2" s="74"/>
    </row>
    <row r="3" spans="2:7" x14ac:dyDescent="0.25">
      <c r="B3" s="28" t="s">
        <v>10</v>
      </c>
      <c r="C3" s="28" t="s">
        <v>18</v>
      </c>
      <c r="D3" s="28" t="s">
        <v>19</v>
      </c>
      <c r="E3" s="28" t="s">
        <v>20</v>
      </c>
      <c r="F3" s="28" t="s">
        <v>21</v>
      </c>
      <c r="G3" s="28" t="s">
        <v>22</v>
      </c>
    </row>
    <row r="4" spans="2:7" x14ac:dyDescent="0.25">
      <c r="B4" s="17" t="s">
        <v>23</v>
      </c>
      <c r="C4" s="17">
        <v>0.95</v>
      </c>
      <c r="D4" s="18">
        <v>2292252566437880</v>
      </c>
      <c r="E4" s="17">
        <f>D4/$D$7</f>
        <v>0.45859742263276138</v>
      </c>
      <c r="F4" s="17">
        <f>E4*C4</f>
        <v>0.4356675515011233</v>
      </c>
      <c r="G4" s="1">
        <f>E4*(C4-$F$7)^2</f>
        <v>0.42315340298322762</v>
      </c>
    </row>
    <row r="5" spans="2:7" x14ac:dyDescent="0.25">
      <c r="B5" s="17" t="s">
        <v>24</v>
      </c>
      <c r="C5" s="17">
        <v>-1</v>
      </c>
      <c r="D5" s="18">
        <v>2230518282592250</v>
      </c>
      <c r="E5" s="17">
        <f t="shared" ref="E5:E6" si="0">D5/$D$7</f>
        <v>0.44624660934359561</v>
      </c>
      <c r="F5" s="17">
        <f t="shared" ref="F5:F6" si="1">E5*C5</f>
        <v>-0.44624660934359561</v>
      </c>
      <c r="G5" s="1">
        <f t="shared" ref="G5:G6" si="2">E5*(C5-$F$7)^2</f>
        <v>0.43685481430205159</v>
      </c>
    </row>
    <row r="6" spans="2:7" ht="15" customHeight="1" thickBot="1" x14ac:dyDescent="0.3">
      <c r="B6" s="17" t="s">
        <v>17</v>
      </c>
      <c r="C6" s="17">
        <v>0</v>
      </c>
      <c r="D6" s="18">
        <v>475627426473216</v>
      </c>
      <c r="E6" s="17">
        <f t="shared" si="0"/>
        <v>9.5155968023640194E-2</v>
      </c>
      <c r="F6" s="20">
        <f t="shared" si="1"/>
        <v>0</v>
      </c>
      <c r="G6" s="19">
        <f t="shared" si="2"/>
        <v>1.0649519549098643E-5</v>
      </c>
    </row>
    <row r="7" spans="2:7" ht="15" customHeight="1" thickBot="1" x14ac:dyDescent="0.3">
      <c r="B7" s="17" t="s">
        <v>8</v>
      </c>
      <c r="C7" s="17"/>
      <c r="D7" s="18">
        <v>4998398275503360</v>
      </c>
      <c r="E7" s="22">
        <f>SUM(E4:E6)</f>
        <v>0.99999999999999722</v>
      </c>
      <c r="F7" s="24">
        <f>SUM(F4:F6)</f>
        <v>-1.0579057842472317E-2</v>
      </c>
      <c r="G7" s="23">
        <f>SUM(G4:G6)</f>
        <v>0.86001886680482831</v>
      </c>
    </row>
    <row r="8" spans="2:7" ht="15.75" thickBot="1" x14ac:dyDescent="0.3">
      <c r="G8" s="21">
        <f>SQRT(G7)</f>
        <v>0.92737202179321121</v>
      </c>
    </row>
    <row r="10" spans="2:7" ht="18.75" x14ac:dyDescent="0.3">
      <c r="B10" s="74" t="s">
        <v>25</v>
      </c>
      <c r="C10" s="74"/>
      <c r="D10" s="74"/>
      <c r="E10" s="74"/>
      <c r="F10" s="74"/>
      <c r="G10" s="74"/>
    </row>
    <row r="11" spans="2:7" x14ac:dyDescent="0.25">
      <c r="B11" s="28" t="s">
        <v>10</v>
      </c>
      <c r="C11" s="28" t="s">
        <v>18</v>
      </c>
      <c r="D11" s="28" t="s">
        <v>19</v>
      </c>
      <c r="E11" s="28" t="s">
        <v>20</v>
      </c>
      <c r="F11" s="28" t="s">
        <v>21</v>
      </c>
      <c r="G11" s="28" t="s">
        <v>22</v>
      </c>
    </row>
    <row r="12" spans="2:7" x14ac:dyDescent="0.25">
      <c r="B12" s="17" t="s">
        <v>23</v>
      </c>
      <c r="C12" s="17">
        <v>-1</v>
      </c>
      <c r="D12" s="18">
        <v>2292252566437880</v>
      </c>
      <c r="E12" s="17">
        <f>D12/$D$7</f>
        <v>0.45859742263276138</v>
      </c>
      <c r="F12" s="17">
        <f>E12*C12</f>
        <v>-0.45859742263276138</v>
      </c>
      <c r="G12" s="1">
        <f>E12*(C12-$F$15)^2</f>
        <v>0.44733927598721468</v>
      </c>
    </row>
    <row r="13" spans="2:7" x14ac:dyDescent="0.25">
      <c r="B13" s="17" t="s">
        <v>24</v>
      </c>
      <c r="C13" s="17">
        <v>1</v>
      </c>
      <c r="D13" s="18">
        <v>2230518282592250</v>
      </c>
      <c r="E13" s="17">
        <f t="shared" ref="E13:E14" si="3">D13/$D$7</f>
        <v>0.44624660934359561</v>
      </c>
      <c r="F13" s="17">
        <f t="shared" ref="F13:F14" si="4">E13*C13</f>
        <v>0.44624660934359561</v>
      </c>
      <c r="G13" s="1">
        <f t="shared" ref="G13:G14" si="5">E13*(C13-$F$15)^2</f>
        <v>0.45733769806252661</v>
      </c>
    </row>
    <row r="14" spans="2:7" ht="15.75" thickBot="1" x14ac:dyDescent="0.3">
      <c r="B14" s="17" t="s">
        <v>17</v>
      </c>
      <c r="C14" s="17">
        <v>0</v>
      </c>
      <c r="D14" s="18">
        <v>475627426473216</v>
      </c>
      <c r="E14" s="17">
        <f t="shared" si="3"/>
        <v>9.5155968023640194E-2</v>
      </c>
      <c r="F14" s="20">
        <f t="shared" si="4"/>
        <v>0</v>
      </c>
      <c r="G14" s="1">
        <f t="shared" si="5"/>
        <v>1.4515337711976482E-5</v>
      </c>
    </row>
    <row r="15" spans="2:7" ht="15.75" thickBot="1" x14ac:dyDescent="0.3">
      <c r="B15" s="17" t="s">
        <v>8</v>
      </c>
      <c r="C15" s="17"/>
      <c r="D15" s="18">
        <v>4998398275503360</v>
      </c>
      <c r="E15" s="22">
        <f>SUM(E12:E14)</f>
        <v>0.99999999999999722</v>
      </c>
      <c r="F15" s="24">
        <f>SUM(F12:F14)</f>
        <v>-1.2350813289165763E-2</v>
      </c>
      <c r="G15" s="23">
        <f>SUM(G12:G14)</f>
        <v>0.90469148938745336</v>
      </c>
    </row>
    <row r="16" spans="2:7" ht="15.75" thickBot="1" x14ac:dyDescent="0.3">
      <c r="G16" s="21">
        <f>SQRT(G15)</f>
        <v>0.95115271612262842</v>
      </c>
    </row>
    <row r="18" spans="2:7" ht="18.75" x14ac:dyDescent="0.3">
      <c r="B18" s="74" t="s">
        <v>26</v>
      </c>
      <c r="C18" s="74"/>
      <c r="D18" s="74"/>
      <c r="E18" s="74"/>
      <c r="F18" s="74"/>
      <c r="G18" s="74"/>
    </row>
    <row r="19" spans="2:7" x14ac:dyDescent="0.25">
      <c r="B19" s="28" t="s">
        <v>10</v>
      </c>
      <c r="C19" s="28" t="s">
        <v>18</v>
      </c>
      <c r="D19" s="28" t="s">
        <v>19</v>
      </c>
      <c r="E19" s="28" t="s">
        <v>20</v>
      </c>
      <c r="F19" s="28" t="s">
        <v>21</v>
      </c>
      <c r="G19" s="28" t="s">
        <v>22</v>
      </c>
    </row>
    <row r="20" spans="2:7" x14ac:dyDescent="0.25">
      <c r="B20" s="17" t="s">
        <v>23</v>
      </c>
      <c r="C20" s="17">
        <v>-1</v>
      </c>
      <c r="D20" s="18">
        <v>2292252566437880</v>
      </c>
      <c r="E20" s="17">
        <f>D20/$D$7</f>
        <v>0.45859742263276138</v>
      </c>
      <c r="F20" s="17">
        <f>E20*C20</f>
        <v>-0.45859742263276138</v>
      </c>
      <c r="G20" s="1">
        <f>E20*(C20-$F$23)^2</f>
        <v>0.33634787785707909</v>
      </c>
    </row>
    <row r="21" spans="2:7" x14ac:dyDescent="0.25">
      <c r="B21" s="17" t="s">
        <v>24</v>
      </c>
      <c r="C21" s="17">
        <v>-1</v>
      </c>
      <c r="D21" s="18">
        <v>2230518282592250</v>
      </c>
      <c r="E21" s="17">
        <f t="shared" ref="E21:E22" si="6">D21/$D$7</f>
        <v>0.44624660934359561</v>
      </c>
      <c r="F21" s="17">
        <f t="shared" ref="F21:F22" si="7">E21*C21</f>
        <v>-0.44624660934359561</v>
      </c>
      <c r="G21" s="1">
        <f t="shared" ref="G21:G22" si="8">E21*(C21-$F$23)^2</f>
        <v>0.32728945398768344</v>
      </c>
    </row>
    <row r="22" spans="2:7" ht="15.75" thickBot="1" x14ac:dyDescent="0.3">
      <c r="B22" s="17" t="s">
        <v>17</v>
      </c>
      <c r="C22" s="17">
        <v>8</v>
      </c>
      <c r="D22" s="18">
        <v>475627426473216</v>
      </c>
      <c r="E22" s="17">
        <f t="shared" si="6"/>
        <v>9.5155968023640194E-2</v>
      </c>
      <c r="F22" s="20">
        <f t="shared" si="7"/>
        <v>0.76124774418912156</v>
      </c>
      <c r="G22" s="19">
        <f t="shared" si="8"/>
        <v>6.3105687597782927</v>
      </c>
    </row>
    <row r="23" spans="2:7" ht="15.75" thickBot="1" x14ac:dyDescent="0.3">
      <c r="B23" s="17" t="s">
        <v>8</v>
      </c>
      <c r="C23" s="17"/>
      <c r="D23" s="18">
        <v>4998398275503360</v>
      </c>
      <c r="E23" s="22">
        <f>SUM(E20:E22)</f>
        <v>0.99999999999999722</v>
      </c>
      <c r="F23" s="24">
        <f>SUM(F20:F22)</f>
        <v>-0.14359628778723543</v>
      </c>
      <c r="G23" s="23">
        <f>SUM(G20:G22)</f>
        <v>6.9742060916230555</v>
      </c>
    </row>
    <row r="24" spans="2:7" ht="15.75" thickBot="1" x14ac:dyDescent="0.3">
      <c r="G24" s="21">
        <f>SQRT(G23)</f>
        <v>2.6408722217523239</v>
      </c>
    </row>
    <row r="26" spans="2:7" ht="18.75" x14ac:dyDescent="0.3">
      <c r="B26" s="74" t="s">
        <v>27</v>
      </c>
      <c r="C26" s="74"/>
      <c r="D26" s="74"/>
      <c r="E26" s="74"/>
      <c r="F26" s="74"/>
      <c r="G26" s="74"/>
    </row>
    <row r="27" spans="2:7" x14ac:dyDescent="0.25">
      <c r="B27" s="28" t="s">
        <v>10</v>
      </c>
      <c r="C27" s="28" t="s">
        <v>18</v>
      </c>
      <c r="D27" s="28" t="s">
        <v>19</v>
      </c>
      <c r="E27" s="28" t="s">
        <v>20</v>
      </c>
      <c r="F27" s="28" t="s">
        <v>21</v>
      </c>
      <c r="G27" s="28" t="s">
        <v>22</v>
      </c>
    </row>
    <row r="28" spans="2:7" x14ac:dyDescent="0.25">
      <c r="B28" s="17" t="s">
        <v>29</v>
      </c>
      <c r="C28" s="17">
        <v>0.5</v>
      </c>
      <c r="D28" s="26">
        <v>269232304455680</v>
      </c>
      <c r="E28" s="25">
        <f>D28/$D$32</f>
        <v>5.3863715857769889E-2</v>
      </c>
      <c r="F28" s="17">
        <f>E28*C28</f>
        <v>2.6931857928884945E-2</v>
      </c>
      <c r="G28" s="27">
        <f>E28*(C28-$F$32)^2</f>
        <v>1.426277000547223E-2</v>
      </c>
    </row>
    <row r="29" spans="2:7" x14ac:dyDescent="0.25">
      <c r="B29" s="17" t="s">
        <v>30</v>
      </c>
      <c r="C29" s="17">
        <v>1</v>
      </c>
      <c r="D29" s="26">
        <v>2023020261982208</v>
      </c>
      <c r="E29" s="25">
        <f t="shared" ref="E29:E31" si="9">D29/$D$32</f>
        <v>0.4047337067749931</v>
      </c>
      <c r="F29" s="17">
        <f t="shared" ref="F29:F31" si="10">E29*C29</f>
        <v>0.4047337067749931</v>
      </c>
      <c r="G29" s="27">
        <f t="shared" ref="G29:G31" si="11">E29*(C29-$F$32)^2</f>
        <v>0.41662263643002412</v>
      </c>
    </row>
    <row r="30" spans="2:7" x14ac:dyDescent="0.25">
      <c r="B30" s="17" t="s">
        <v>24</v>
      </c>
      <c r="C30" s="17">
        <v>-1</v>
      </c>
      <c r="D30" s="26">
        <v>2230518282592256</v>
      </c>
      <c r="E30" s="25">
        <f t="shared" si="9"/>
        <v>0.44624660934359683</v>
      </c>
      <c r="F30" s="17">
        <f t="shared" si="10"/>
        <v>-0.44624660934359683</v>
      </c>
      <c r="G30" s="27">
        <f t="shared" si="11"/>
        <v>0.4333280009729138</v>
      </c>
    </row>
    <row r="31" spans="2:7" ht="15.75" thickBot="1" x14ac:dyDescent="0.3">
      <c r="B31" s="17" t="s">
        <v>17</v>
      </c>
      <c r="C31" s="17">
        <v>0</v>
      </c>
      <c r="D31" s="26">
        <v>475627426473216</v>
      </c>
      <c r="E31" s="25">
        <f t="shared" si="9"/>
        <v>9.5155968023640194E-2</v>
      </c>
      <c r="F31" s="17">
        <f t="shared" si="10"/>
        <v>0</v>
      </c>
      <c r="G31" s="27">
        <f t="shared" si="11"/>
        <v>2.0230811836820772E-5</v>
      </c>
    </row>
    <row r="32" spans="2:7" ht="15.75" thickBot="1" x14ac:dyDescent="0.3">
      <c r="B32" s="17" t="s">
        <v>8</v>
      </c>
      <c r="C32" s="17"/>
      <c r="D32" s="18">
        <f>SUM(D28:D31)</f>
        <v>4998398275503360</v>
      </c>
      <c r="E32" s="22">
        <f>SUM(E28:E31)</f>
        <v>1</v>
      </c>
      <c r="F32" s="24">
        <f>SUM(F28:F31)</f>
        <v>-1.4581044639718765E-2</v>
      </c>
      <c r="G32" s="23">
        <f>SUM(G28:G31)</f>
        <v>0.8642336382202469</v>
      </c>
    </row>
    <row r="33" spans="7:7" ht="15.75" thickBot="1" x14ac:dyDescent="0.3">
      <c r="G33" s="21">
        <f>SQRT(G32)</f>
        <v>0.92964167194691039</v>
      </c>
    </row>
  </sheetData>
  <mergeCells count="4">
    <mergeCell ref="B2:G2"/>
    <mergeCell ref="B10:G10"/>
    <mergeCell ref="B18:G18"/>
    <mergeCell ref="B26:G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B2:P12"/>
  <sheetViews>
    <sheetView workbookViewId="0"/>
  </sheetViews>
  <sheetFormatPr defaultRowHeight="15" x14ac:dyDescent="0.25"/>
  <sheetData>
    <row r="2" spans="2:16" x14ac:dyDescent="0.25">
      <c r="B2" s="1"/>
      <c r="C2" s="75" t="s">
        <v>6</v>
      </c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1"/>
    </row>
    <row r="3" spans="2:16" x14ac:dyDescent="0.25">
      <c r="B3" s="1"/>
      <c r="C3" s="2" t="s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 t="s">
        <v>2</v>
      </c>
      <c r="M3" s="2" t="s">
        <v>3</v>
      </c>
      <c r="N3" s="2" t="s">
        <v>4</v>
      </c>
      <c r="O3" s="2" t="s">
        <v>5</v>
      </c>
      <c r="P3" s="2" t="s">
        <v>8</v>
      </c>
    </row>
    <row r="4" spans="2:16" x14ac:dyDescent="0.25">
      <c r="B4" s="1" t="s">
        <v>0</v>
      </c>
      <c r="C4" s="1" t="e">
        <f>#REF!</f>
        <v>#REF!</v>
      </c>
      <c r="D4" s="1" t="e">
        <f>#REF!</f>
        <v>#REF!</v>
      </c>
      <c r="E4" s="1" t="e">
        <f>#REF!</f>
        <v>#REF!</v>
      </c>
      <c r="F4" s="1" t="e">
        <f>#REF!</f>
        <v>#REF!</v>
      </c>
      <c r="G4" s="1" t="e">
        <f>#REF!</f>
        <v>#REF!</v>
      </c>
      <c r="H4" s="1" t="e">
        <f>#REF!</f>
        <v>#REF!</v>
      </c>
      <c r="I4" s="1" t="e">
        <f>#REF!</f>
        <v>#REF!</v>
      </c>
      <c r="J4" s="1" t="e">
        <f>#REF!</f>
        <v>#REF!</v>
      </c>
      <c r="K4" s="1" t="e">
        <f>#REF!</f>
        <v>#REF!</v>
      </c>
      <c r="L4" s="1" t="e">
        <f>#REF!</f>
        <v>#REF!</v>
      </c>
      <c r="M4" s="1" t="e">
        <f>#REF!</f>
        <v>#REF!</v>
      </c>
      <c r="N4" s="1" t="e">
        <f>#REF!</f>
        <v>#REF!</v>
      </c>
      <c r="O4" s="1" t="e">
        <f>#REF!</f>
        <v>#REF!</v>
      </c>
      <c r="P4" s="1" t="e">
        <f>SUM(C4:O4)</f>
        <v>#REF!</v>
      </c>
    </row>
    <row r="5" spans="2:16" x14ac:dyDescent="0.25">
      <c r="B5" s="1" t="s">
        <v>7</v>
      </c>
      <c r="C5" s="1" t="e">
        <f>IF(C4&lt;2,0,COMBIN(C4,2))</f>
        <v>#REF!</v>
      </c>
      <c r="D5" s="1" t="e">
        <f t="shared" ref="D5:O5" si="0">IF(D4&lt;2,0,COMBIN(D4,2))</f>
        <v>#REF!</v>
      </c>
      <c r="E5" s="1" t="e">
        <f t="shared" si="0"/>
        <v>#REF!</v>
      </c>
      <c r="F5" s="1" t="e">
        <f t="shared" si="0"/>
        <v>#REF!</v>
      </c>
      <c r="G5" s="1" t="e">
        <f t="shared" si="0"/>
        <v>#REF!</v>
      </c>
      <c r="H5" s="1" t="e">
        <f t="shared" si="0"/>
        <v>#REF!</v>
      </c>
      <c r="I5" s="1" t="e">
        <f t="shared" si="0"/>
        <v>#REF!</v>
      </c>
      <c r="J5" s="1" t="e">
        <f t="shared" si="0"/>
        <v>#REF!</v>
      </c>
      <c r="K5" s="1" t="e">
        <f t="shared" si="0"/>
        <v>#REF!</v>
      </c>
      <c r="L5" s="1" t="e">
        <f t="shared" si="0"/>
        <v>#REF!</v>
      </c>
      <c r="M5" s="1" t="e">
        <f t="shared" si="0"/>
        <v>#REF!</v>
      </c>
      <c r="N5" s="1" t="e">
        <f t="shared" si="0"/>
        <v>#REF!</v>
      </c>
      <c r="O5" s="1" t="e">
        <f t="shared" si="0"/>
        <v>#REF!</v>
      </c>
      <c r="P5" s="1" t="e">
        <f>SUM(C5:O5)</f>
        <v>#REF!</v>
      </c>
    </row>
    <row r="8" spans="2:16" x14ac:dyDescent="0.25">
      <c r="B8" s="75" t="s">
        <v>9</v>
      </c>
      <c r="C8" s="75"/>
      <c r="D8" s="75"/>
      <c r="E8" s="75"/>
      <c r="F8" s="75"/>
    </row>
    <row r="9" spans="2:16" x14ac:dyDescent="0.25">
      <c r="B9" s="2" t="s">
        <v>10</v>
      </c>
      <c r="C9" s="2" t="s">
        <v>11</v>
      </c>
      <c r="D9" s="2" t="s">
        <v>12</v>
      </c>
      <c r="E9" s="2" t="s">
        <v>13</v>
      </c>
      <c r="F9" s="2" t="s">
        <v>14</v>
      </c>
    </row>
    <row r="10" spans="2:16" x14ac:dyDescent="0.25">
      <c r="B10" s="1" t="s">
        <v>15</v>
      </c>
      <c r="C10" s="1" t="e">
        <f>P5</f>
        <v>#REF!</v>
      </c>
      <c r="D10" s="1" t="e">
        <f>C10/C12</f>
        <v>#REF!</v>
      </c>
      <c r="E10" s="1">
        <v>11</v>
      </c>
      <c r="F10" s="1" t="e">
        <f>D10*E10</f>
        <v>#REF!</v>
      </c>
    </row>
    <row r="11" spans="2:16" x14ac:dyDescent="0.25">
      <c r="B11" s="1" t="s">
        <v>16</v>
      </c>
      <c r="C11" s="1" t="e">
        <f>C12-C10</f>
        <v>#REF!</v>
      </c>
      <c r="D11" s="1" t="e">
        <f>C11/C12</f>
        <v>#REF!</v>
      </c>
      <c r="E11" s="1">
        <v>-1</v>
      </c>
      <c r="F11" s="1" t="e">
        <f>D11*E11</f>
        <v>#REF!</v>
      </c>
    </row>
    <row r="12" spans="2:16" x14ac:dyDescent="0.25">
      <c r="B12" s="1" t="s">
        <v>8</v>
      </c>
      <c r="C12" s="1" t="e">
        <f>COMBIN(P4,2)</f>
        <v>#REF!</v>
      </c>
      <c r="D12" s="1" t="e">
        <f>SUM(D10:D11)</f>
        <v>#REF!</v>
      </c>
      <c r="E12" s="1"/>
      <c r="F12" s="1" t="e">
        <f>SUM(F10:F11)</f>
        <v>#REF!</v>
      </c>
    </row>
  </sheetData>
  <mergeCells count="2">
    <mergeCell ref="C2:O2"/>
    <mergeCell ref="B8:F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BEC (2)</vt:lpstr>
      <vt:lpstr>CA</vt:lpstr>
      <vt:lpstr>Pair_Bet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Statisitcal Baccarat Analyzer V. 1.1</dc:title>
  <dc:creator>Eliot Jacobson, Ph.D.</dc:creator>
  <cp:lastModifiedBy>koi</cp:lastModifiedBy>
  <dcterms:created xsi:type="dcterms:W3CDTF">2020-09-24T17:39:03Z</dcterms:created>
  <dcterms:modified xsi:type="dcterms:W3CDTF">2024-12-01T07:47:20Z</dcterms:modified>
</cp:coreProperties>
</file>